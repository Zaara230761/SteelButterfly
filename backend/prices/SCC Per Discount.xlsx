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hina" sheetId="1" r:id="rId4"/>
    <sheet state="visible" name="India" sheetId="2" r:id="rId5"/>
    <sheet state="visible" name="US" sheetId="3" r:id="rId6"/>
  </sheets>
  <definedNames/>
  <calcPr/>
</workbook>
</file>

<file path=xl/sharedStrings.xml><?xml version="1.0" encoding="utf-8"?>
<sst xmlns="http://schemas.openxmlformats.org/spreadsheetml/2006/main" count="65" uniqueCount="55">
  <si>
    <t xml:space="preserve">China </t>
  </si>
  <si>
    <t xml:space="preserve">India </t>
  </si>
  <si>
    <t xml:space="preserve">United States </t>
  </si>
  <si>
    <t>Metric</t>
  </si>
  <si>
    <t>China (Average)</t>
  </si>
  <si>
    <t>Baosteel 600019.SS</t>
  </si>
  <si>
    <t>Nanjing Steel 600282.SS</t>
  </si>
  <si>
    <t>Magang 600808.SS</t>
  </si>
  <si>
    <t>Angang 000959.SZ</t>
  </si>
  <si>
    <t>Shandong / Laiwu 000898.SZ</t>
  </si>
  <si>
    <t>Benxi Steel 000761.SZ</t>
  </si>
  <si>
    <t>Tangshan Steel 000709.SZ</t>
  </si>
  <si>
    <t>India (Average)</t>
  </si>
  <si>
    <t>SARDAEN.NS (Sarda Energy &amp; Minerals)</t>
  </si>
  <si>
    <t>SAIL.NS (Steel Authority of India)</t>
  </si>
  <si>
    <t>PRAKASH.NS (Prakash Industries)</t>
  </si>
  <si>
    <t>NSLNISP.NS (NMDC Steel Ltd)</t>
  </si>
  <si>
    <t>JSWSTEEL.NS (JSW Steel)</t>
  </si>
  <si>
    <t>JINDALSTEL.NS (Jindal Steel &amp; Power)</t>
  </si>
  <si>
    <t>GPIL.NS (Godawari Power &amp; Ispat)</t>
  </si>
  <si>
    <t>US (Average)</t>
  </si>
  <si>
    <t>NUENucor</t>
  </si>
  <si>
    <t>STLDSteel Dynamics</t>
  </si>
  <si>
    <t>CMCCommercial Metals</t>
  </si>
  <si>
    <t>FRDFriedman Industries</t>
  </si>
  <si>
    <t>CLFCleveland-Cliffs</t>
  </si>
  <si>
    <t>XU.S. Steel</t>
  </si>
  <si>
    <t>MTArcelorMittal</t>
  </si>
  <si>
    <t>M_CO2</t>
  </si>
  <si>
    <t>T_CO2</t>
  </si>
  <si>
    <t>W</t>
  </si>
  <si>
    <t>M_SO2</t>
  </si>
  <si>
    <t xml:space="preserve">Discount </t>
  </si>
  <si>
    <t>SC_CO_2</t>
  </si>
  <si>
    <t>Tons CO₂ per ton steel</t>
  </si>
  <si>
    <t>Distance transported to US (km)</t>
  </si>
  <si>
    <t>Ton CO2 per ton transported</t>
  </si>
  <si>
    <t>0.15 kg CO2 per ton per kilometer</t>
  </si>
  <si>
    <t>Water consumption per ton</t>
  </si>
  <si>
    <t>Water Price</t>
  </si>
  <si>
    <t xml:space="preserve">kg SO₂ emissions per ton </t>
  </si>
  <si>
    <t>Production method</t>
  </si>
  <si>
    <t>EAF (scrap-based)</t>
  </si>
  <si>
    <t>EAF</t>
  </si>
  <si>
    <t>EAF (long products)</t>
  </si>
  <si>
    <t>BF + HBI/DRI + some EAF</t>
  </si>
  <si>
    <t>BF–BOF</t>
  </si>
  <si>
    <t>BF–BOF + EAF globally</t>
  </si>
  <si>
    <t>Relative emissions profile</t>
  </si>
  <si>
    <t>Lowest in U.S.</t>
  </si>
  <si>
    <t>Low</t>
  </si>
  <si>
    <t>Low–mid</t>
  </si>
  <si>
    <t>Medium</t>
  </si>
  <si>
    <t>High</t>
  </si>
  <si>
    <t>Medium–high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</si>
</sst>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00000000"/>
  </numFmts>
  <fonts count="7">
    <font>
      <sz val="10.0"/>
      <color rgb="FF000000"/>
      <name val="Arial"/>
      <scheme val="minor"/>
    </font>
    <font>
      <b/>
      <sz val="11.0"/>
      <color rgb="FF000000"/>
      <name val="Arial"/>
    </font>
    <font>
      <b/>
      <sz val="11.0"/>
      <color theme="1"/>
      <name val="Arial"/>
    </font>
    <font>
      <color theme="1"/>
      <name val="Arial"/>
      <scheme val="minor"/>
    </font>
    <font>
      <b/>
      <color theme="1"/>
      <name val="Arial"/>
      <scheme val="minor"/>
    </font>
    <font>
      <sz val="11.0"/>
      <color rgb="FF000000"/>
      <name val="Arial"/>
    </font>
    <font>
      <sz val="11.0"/>
      <color rgb="FF333333"/>
      <name val="Arial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21">
    <xf borderId="0" fillId="0" fontId="0" numFmtId="0" xfId="0" applyAlignment="1" applyFont="1">
      <alignment readingOrder="0" shrinkToFit="0" vertical="bottom" wrapText="0"/>
    </xf>
    <xf borderId="0" fillId="0" fontId="1" numFmtId="164" xfId="0" applyAlignment="1" applyFont="1" applyNumberFormat="1">
      <alignment horizontal="center" readingOrder="0" shrinkToFit="0" wrapText="1"/>
    </xf>
    <xf borderId="0" fillId="0" fontId="2" numFmtId="164" xfId="0" applyAlignment="1" applyFont="1" applyNumberFormat="1">
      <alignment horizontal="center" readingOrder="0" shrinkToFit="0" wrapText="1"/>
    </xf>
    <xf borderId="0" fillId="0" fontId="3" numFmtId="164" xfId="0" applyAlignment="1" applyFont="1" applyNumberFormat="1">
      <alignment shrinkToFit="0" wrapText="1"/>
    </xf>
    <xf borderId="0" fillId="0" fontId="4" numFmtId="164" xfId="0" applyAlignment="1" applyFont="1" applyNumberFormat="1">
      <alignment readingOrder="0" shrinkToFit="0" wrapText="1"/>
    </xf>
    <xf borderId="0" fillId="0" fontId="1" numFmtId="164" xfId="0" applyAlignment="1" applyFont="1" applyNumberFormat="1">
      <alignment horizontal="left" readingOrder="0" shrinkToFit="0" wrapText="1"/>
    </xf>
    <xf borderId="0" fillId="0" fontId="5" numFmtId="164" xfId="0" applyAlignment="1" applyFont="1" applyNumberFormat="1">
      <alignment horizontal="left" readingOrder="0" shrinkToFit="0" wrapText="1"/>
    </xf>
    <xf borderId="0" fillId="0" fontId="5" numFmtId="164" xfId="0" applyAlignment="1" applyFont="1" applyNumberFormat="1">
      <alignment horizontal="center" readingOrder="0" shrinkToFit="0" wrapText="1"/>
    </xf>
    <xf borderId="0" fillId="0" fontId="3" numFmtId="164" xfId="0" applyAlignment="1" applyFont="1" applyNumberFormat="1">
      <alignment readingOrder="0" shrinkToFit="0" wrapText="1"/>
    </xf>
    <xf borderId="0" fillId="0" fontId="3" numFmtId="164" xfId="0" applyAlignment="1" applyFont="1" applyNumberFormat="1">
      <alignment horizontal="left" shrinkToFit="0" vertical="top" wrapText="1"/>
    </xf>
    <xf borderId="0" fillId="0" fontId="3" numFmtId="164" xfId="0" applyAlignment="1" applyFont="1" applyNumberFormat="1">
      <alignment horizontal="left" readingOrder="0" shrinkToFit="0" vertical="top" wrapText="1"/>
    </xf>
    <xf borderId="0" fillId="0" fontId="5" numFmtId="0" xfId="0" applyAlignment="1" applyFont="1">
      <alignment horizontal="center" readingOrder="0" shrinkToFit="0" wrapText="1"/>
    </xf>
    <xf borderId="0" fillId="0" fontId="3" numFmtId="164" xfId="0" applyAlignment="1" applyFont="1" applyNumberFormat="1">
      <alignment horizontal="left" shrinkToFit="0" wrapText="1"/>
    </xf>
    <xf borderId="0" fillId="0" fontId="2" numFmtId="0" xfId="0" applyAlignment="1" applyFont="1">
      <alignment horizontal="center" readingOrder="0" shrinkToFit="0" wrapText="1"/>
    </xf>
    <xf borderId="0" fillId="0" fontId="1" numFmtId="0" xfId="0" applyAlignment="1" applyFont="1">
      <alignment horizontal="left" readingOrder="0" shrinkToFit="0" wrapText="1"/>
    </xf>
    <xf borderId="0" fillId="0" fontId="5" numFmtId="0" xfId="0" applyAlignment="1" applyFont="1">
      <alignment horizontal="left" readingOrder="0" shrinkToFit="0" wrapText="1"/>
    </xf>
    <xf borderId="0" fillId="0" fontId="3" numFmtId="0" xfId="0" applyAlignment="1" applyFont="1">
      <alignment horizontal="left" readingOrder="0" shrinkToFit="0" vertical="top" wrapText="1"/>
    </xf>
    <xf borderId="0" fillId="0" fontId="3" numFmtId="0" xfId="0" applyAlignment="1" applyFont="1">
      <alignment horizontal="left" shrinkToFit="0" vertical="top" wrapText="1"/>
    </xf>
    <xf borderId="0" fillId="2" fontId="6" numFmtId="0" xfId="0" applyFill="1" applyFont="1"/>
    <xf borderId="0" fillId="0" fontId="1" numFmtId="0" xfId="0" applyAlignment="1" applyFont="1">
      <alignment horizontal="center" readingOrder="0" shrinkToFit="0" wrapText="1"/>
    </xf>
    <xf borderId="0" fillId="0" fontId="3" numFmtId="0" xfId="0" applyAlignment="1" applyFont="1">
      <alignment readingOrder="0"/>
    </xf>
  </cellXfs>
  <cellStyles count="1">
    <cellStyle xfId="0" name="Normal" builtinId="0"/>
  </cellStyles>
  <dxfs count="3">
    <dxf>
      <font/>
      <fill>
        <patternFill patternType="none"/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</dxfs>
  <tableStyles count="1">
    <tableStyle count="2" pivot="0" name="US-style">
      <tableStyleElement dxfId="1" type="firstRowStripe"/>
      <tableStyleElement dxfId="2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headerRowCount="0" ref="A2:A4" displayName="Table_1" name="Table_1" id="1">
  <tableColumns count="1">
    <tableColumn name="Column1" id="1"/>
  </tableColumns>
  <tableStyleInfo name="US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/>
      <c r="B1" s="1"/>
      <c r="C1" s="1" t="s">
        <v>0</v>
      </c>
      <c r="J1" s="2"/>
      <c r="K1" s="2" t="s">
        <v>1</v>
      </c>
      <c r="R1" s="3"/>
      <c r="S1" s="4" t="s">
        <v>2</v>
      </c>
      <c r="Z1" s="3"/>
    </row>
    <row r="2">
      <c r="A2" s="1" t="s">
        <v>3</v>
      </c>
      <c r="B2" s="4" t="s">
        <v>4</v>
      </c>
      <c r="C2" s="1" t="s">
        <v>5</v>
      </c>
      <c r="D2" s="1" t="s">
        <v>6</v>
      </c>
      <c r="E2" s="1" t="s">
        <v>7</v>
      </c>
      <c r="F2" s="1" t="s">
        <v>8</v>
      </c>
      <c r="G2" s="1" t="s">
        <v>9</v>
      </c>
      <c r="H2" s="1" t="s">
        <v>10</v>
      </c>
      <c r="I2" s="1" t="s">
        <v>11</v>
      </c>
      <c r="J2" s="2" t="s">
        <v>12</v>
      </c>
      <c r="K2" s="2" t="s">
        <v>13</v>
      </c>
      <c r="L2" s="2" t="s">
        <v>14</v>
      </c>
      <c r="M2" s="2" t="s">
        <v>15</v>
      </c>
      <c r="N2" s="2" t="s">
        <v>16</v>
      </c>
      <c r="O2" s="2" t="s">
        <v>17</v>
      </c>
      <c r="P2" s="2" t="s">
        <v>18</v>
      </c>
      <c r="Q2" s="2" t="s">
        <v>19</v>
      </c>
      <c r="R2" s="4" t="s">
        <v>20</v>
      </c>
      <c r="S2" s="1" t="s">
        <v>21</v>
      </c>
      <c r="T2" s="1" t="s">
        <v>22</v>
      </c>
      <c r="U2" s="1" t="s">
        <v>23</v>
      </c>
      <c r="V2" s="1" t="s">
        <v>24</v>
      </c>
      <c r="W2" s="1" t="s">
        <v>25</v>
      </c>
      <c r="X2" s="1" t="s">
        <v>26</v>
      </c>
      <c r="Y2" s="1" t="s">
        <v>27</v>
      </c>
      <c r="Z2" s="3"/>
    </row>
    <row r="3">
      <c r="A3" s="5" t="s">
        <v>28</v>
      </c>
      <c r="B3" s="3">
        <f t="shared" ref="B3:B6" si="1"> AVERAGE(C3:I3)</f>
        <v>2.2</v>
      </c>
      <c r="C3" s="6">
        <v>2.05</v>
      </c>
      <c r="D3" s="6">
        <v>2.15</v>
      </c>
      <c r="E3" s="6">
        <v>2.2</v>
      </c>
      <c r="F3" s="6">
        <v>2.2</v>
      </c>
      <c r="G3" s="6">
        <v>2.3</v>
      </c>
      <c r="H3" s="6">
        <v>2.2</v>
      </c>
      <c r="I3" s="6">
        <v>2.3</v>
      </c>
      <c r="J3" s="5">
        <f t="shared" ref="J3:J6" si="2"> AVERAGE(K3:Q3)</f>
        <v>1.907142857</v>
      </c>
      <c r="K3" s="6">
        <v>1.4</v>
      </c>
      <c r="L3" s="6">
        <v>2.4</v>
      </c>
      <c r="M3" s="6">
        <v>1.8</v>
      </c>
      <c r="N3" s="6">
        <v>2.25</v>
      </c>
      <c r="O3" s="6">
        <v>2.15</v>
      </c>
      <c r="P3" s="6">
        <v>2.0</v>
      </c>
      <c r="Q3" s="6">
        <v>1.35</v>
      </c>
      <c r="R3" s="3">
        <f t="shared" ref="R3:R6" si="4"> AVERAGE(S3:Y3)</f>
        <v>1.114285714</v>
      </c>
      <c r="S3" s="7">
        <v>0.5</v>
      </c>
      <c r="T3" s="7">
        <v>0.55</v>
      </c>
      <c r="U3" s="7">
        <v>0.5</v>
      </c>
      <c r="V3" s="7">
        <v>0.6</v>
      </c>
      <c r="W3" s="7">
        <v>1.7</v>
      </c>
      <c r="X3" s="7">
        <v>2.0</v>
      </c>
      <c r="Y3" s="7">
        <v>1.95</v>
      </c>
      <c r="Z3" s="3"/>
    </row>
    <row r="4">
      <c r="A4" s="5" t="s">
        <v>29</v>
      </c>
      <c r="B4" s="3">
        <f t="shared" si="1"/>
        <v>0.1802829587</v>
      </c>
      <c r="C4" s="3">
        <v>0.0989872461</v>
      </c>
      <c r="D4" s="3">
        <v>0.0989872461</v>
      </c>
      <c r="E4" s="3">
        <v>0.0989872461</v>
      </c>
      <c r="F4" s="8">
        <v>0.24125474319999998</v>
      </c>
      <c r="G4" s="8">
        <v>0.24125474319999998</v>
      </c>
      <c r="H4" s="8">
        <v>0.24125474319999998</v>
      </c>
      <c r="I4" s="8">
        <v>0.24125474319999998</v>
      </c>
      <c r="J4" s="5">
        <f t="shared" si="2"/>
        <v>0.00003097666714</v>
      </c>
      <c r="K4" s="9">
        <f t="shared" ref="K4:Q4" si="3"> 0.0000087083 *K5</f>
        <v>0.00002177075</v>
      </c>
      <c r="L4" s="9">
        <f t="shared" si="3"/>
        <v>0.00003918735</v>
      </c>
      <c r="M4" s="9">
        <f t="shared" si="3"/>
        <v>0.00003047905</v>
      </c>
      <c r="N4" s="10">
        <f t="shared" si="3"/>
        <v>0.00003831652</v>
      </c>
      <c r="O4" s="10">
        <f t="shared" si="3"/>
        <v>0.0000348332</v>
      </c>
      <c r="P4" s="10">
        <f t="shared" si="3"/>
        <v>0.00003047905</v>
      </c>
      <c r="Q4" s="10">
        <f t="shared" si="3"/>
        <v>0.00002177075</v>
      </c>
      <c r="R4" s="3">
        <f t="shared" si="4"/>
        <v>0.0001842434657</v>
      </c>
      <c r="S4" s="7">
        <f>S3*0.0001653467</f>
        <v>0.00008267335</v>
      </c>
      <c r="T4" s="7">
        <f t="shared" ref="T4:Y4" si="5"> T3*0.0001653467</f>
        <v>0.000090940685</v>
      </c>
      <c r="U4" s="7">
        <f t="shared" si="5"/>
        <v>0.00008267335</v>
      </c>
      <c r="V4" s="7">
        <f t="shared" si="5"/>
        <v>0.00009920802</v>
      </c>
      <c r="W4" s="7">
        <f t="shared" si="5"/>
        <v>0.00028108939</v>
      </c>
      <c r="X4" s="7">
        <f t="shared" si="5"/>
        <v>0.0003306934</v>
      </c>
      <c r="Y4" s="7">
        <f t="shared" si="5"/>
        <v>0.000322426065</v>
      </c>
      <c r="Z4" s="3"/>
    </row>
    <row r="5">
      <c r="A5" s="5" t="s">
        <v>30</v>
      </c>
      <c r="B5" s="3">
        <f t="shared" si="1"/>
        <v>4.257142857</v>
      </c>
      <c r="C5" s="6">
        <v>3.5</v>
      </c>
      <c r="D5" s="6">
        <v>4.3</v>
      </c>
      <c r="E5" s="6">
        <v>4.3</v>
      </c>
      <c r="F5" s="6">
        <v>4.3</v>
      </c>
      <c r="G5" s="6">
        <v>4.4</v>
      </c>
      <c r="H5" s="6">
        <v>4.3</v>
      </c>
      <c r="I5" s="6">
        <v>4.7</v>
      </c>
      <c r="J5" s="5">
        <f t="shared" si="2"/>
        <v>3.557142857</v>
      </c>
      <c r="K5" s="6">
        <v>2.5</v>
      </c>
      <c r="L5" s="6">
        <v>4.5</v>
      </c>
      <c r="M5" s="6">
        <v>3.5</v>
      </c>
      <c r="N5" s="6">
        <v>4.4</v>
      </c>
      <c r="O5" s="6">
        <v>4.0</v>
      </c>
      <c r="P5" s="6">
        <v>3.5</v>
      </c>
      <c r="Q5" s="6">
        <v>2.5</v>
      </c>
      <c r="R5" s="3">
        <f t="shared" si="4"/>
        <v>2.164285714</v>
      </c>
      <c r="S5" s="11">
        <v>0.95</v>
      </c>
      <c r="T5" s="11">
        <v>0.95</v>
      </c>
      <c r="U5" s="11">
        <v>1.0</v>
      </c>
      <c r="V5" s="11">
        <v>1.25</v>
      </c>
      <c r="W5" s="11">
        <v>3.5</v>
      </c>
      <c r="X5" s="11">
        <v>4.0</v>
      </c>
      <c r="Y5" s="11">
        <v>3.5</v>
      </c>
      <c r="Z5" s="3"/>
    </row>
    <row r="6">
      <c r="A6" s="5" t="s">
        <v>31</v>
      </c>
      <c r="B6" s="3">
        <f t="shared" si="1"/>
        <v>1.271428571</v>
      </c>
      <c r="C6" s="6">
        <v>1.1</v>
      </c>
      <c r="D6" s="6">
        <v>1.2</v>
      </c>
      <c r="E6" s="6">
        <v>1.3</v>
      </c>
      <c r="F6" s="6">
        <v>1.2</v>
      </c>
      <c r="G6" s="6">
        <v>1.4</v>
      </c>
      <c r="H6" s="6">
        <v>1.3</v>
      </c>
      <c r="I6" s="6">
        <v>1.4</v>
      </c>
      <c r="J6" s="5">
        <f t="shared" si="2"/>
        <v>1.007142857</v>
      </c>
      <c r="K6" s="6">
        <v>0.75</v>
      </c>
      <c r="L6" s="6">
        <v>1.4</v>
      </c>
      <c r="M6" s="6">
        <v>0.85</v>
      </c>
      <c r="N6" s="6">
        <v>1.25</v>
      </c>
      <c r="O6" s="6">
        <v>1.15</v>
      </c>
      <c r="P6" s="6">
        <v>1.0</v>
      </c>
      <c r="Q6" s="6">
        <v>0.65</v>
      </c>
      <c r="R6" s="3">
        <f t="shared" si="4"/>
        <v>0.5142857143</v>
      </c>
      <c r="S6" s="11">
        <v>0.2</v>
      </c>
      <c r="T6" s="11">
        <v>0.2</v>
      </c>
      <c r="U6" s="11">
        <v>0.2</v>
      </c>
      <c r="V6" s="11">
        <v>0.3</v>
      </c>
      <c r="W6" s="11">
        <v>0.85</v>
      </c>
      <c r="X6" s="11">
        <v>1.0</v>
      </c>
      <c r="Y6" s="11">
        <v>0.85</v>
      </c>
      <c r="Z6" s="3"/>
    </row>
    <row r="7">
      <c r="A7" s="5"/>
      <c r="B7" s="6"/>
      <c r="C7" s="6"/>
      <c r="D7" s="6"/>
      <c r="E7" s="6"/>
      <c r="F7" s="6"/>
      <c r="G7" s="6"/>
      <c r="H7" s="6"/>
      <c r="I7" s="3"/>
      <c r="J7" s="5"/>
      <c r="K7" s="6"/>
      <c r="L7" s="6"/>
      <c r="M7" s="6"/>
      <c r="N7" s="6"/>
      <c r="O7" s="6"/>
      <c r="P7" s="6"/>
      <c r="Q7" s="6"/>
      <c r="R7" s="3"/>
      <c r="S7" s="3"/>
      <c r="T7" s="3"/>
      <c r="U7" s="3"/>
      <c r="V7" s="3"/>
      <c r="W7" s="3"/>
      <c r="X7" s="3"/>
      <c r="Y7" s="3"/>
      <c r="Z7" s="3"/>
    </row>
    <row r="8">
      <c r="A8" s="3"/>
      <c r="B8" s="6"/>
      <c r="C8" s="6"/>
      <c r="D8" s="6"/>
      <c r="E8" s="6"/>
      <c r="F8" s="6"/>
      <c r="G8" s="6"/>
      <c r="H8" s="6"/>
      <c r="I8" s="3"/>
      <c r="J8" s="5"/>
      <c r="K8" s="6"/>
      <c r="L8" s="6"/>
      <c r="M8" s="6"/>
      <c r="N8" s="6"/>
      <c r="O8" s="6"/>
      <c r="P8" s="6"/>
      <c r="Q8" s="6"/>
      <c r="R8" s="3"/>
      <c r="S8" s="3"/>
      <c r="T8" s="3"/>
      <c r="U8" s="3"/>
      <c r="V8" s="3"/>
      <c r="W8" s="3"/>
      <c r="X8" s="3"/>
      <c r="Y8" s="3"/>
      <c r="Z8" s="3"/>
    </row>
    <row r="9">
      <c r="A9" s="12"/>
      <c r="B9" s="3"/>
      <c r="C9" s="3"/>
      <c r="D9" s="3"/>
      <c r="E9" s="3"/>
      <c r="F9" s="3"/>
      <c r="G9" s="3"/>
      <c r="H9" s="3"/>
      <c r="I9" s="3"/>
      <c r="J9" s="5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>
      <c r="A10" s="3"/>
      <c r="B10" s="3"/>
      <c r="C10" s="3"/>
      <c r="D10" s="3"/>
      <c r="E10" s="3"/>
      <c r="F10" s="3"/>
      <c r="G10" s="3"/>
      <c r="H10" s="3"/>
      <c r="I10" s="3"/>
      <c r="J10" s="5"/>
      <c r="K10" s="6"/>
      <c r="L10" s="6"/>
      <c r="M10" s="6"/>
      <c r="N10" s="6"/>
      <c r="O10" s="6"/>
      <c r="P10" s="6"/>
      <c r="Q10" s="6"/>
      <c r="R10" s="3"/>
      <c r="S10" s="3"/>
      <c r="T10" s="3"/>
      <c r="U10" s="3"/>
      <c r="V10" s="3"/>
      <c r="W10" s="3"/>
      <c r="X10" s="3"/>
      <c r="Y10" s="3"/>
      <c r="Z10" s="3"/>
    </row>
    <row r="11">
      <c r="A11" s="3"/>
      <c r="B11" s="3"/>
      <c r="C11" s="3"/>
      <c r="D11" s="3"/>
      <c r="E11" s="3"/>
      <c r="F11" s="3"/>
      <c r="G11" s="3"/>
      <c r="H11" s="3"/>
      <c r="I11" s="3"/>
      <c r="J11" s="5"/>
      <c r="K11" s="6"/>
      <c r="L11" s="6"/>
      <c r="M11" s="6"/>
      <c r="N11" s="6"/>
      <c r="O11" s="6"/>
      <c r="P11" s="6"/>
      <c r="Q11" s="6"/>
      <c r="R11" s="3"/>
      <c r="S11" s="3"/>
      <c r="T11" s="3"/>
      <c r="U11" s="3"/>
      <c r="V11" s="3"/>
      <c r="W11" s="3"/>
      <c r="X11" s="3"/>
      <c r="Y11" s="3"/>
      <c r="Z11" s="3"/>
    </row>
    <row r="1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</sheetData>
  <mergeCells count="3">
    <mergeCell ref="C1:I1"/>
    <mergeCell ref="K1:Q1"/>
    <mergeCell ref="S1:Y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3" max="3" width="12.75"/>
  </cols>
  <sheetData>
    <row r="1">
      <c r="A1" s="13"/>
      <c r="B1" s="13"/>
      <c r="C1" s="13"/>
      <c r="D1" s="13"/>
      <c r="E1" s="13"/>
      <c r="F1" s="13"/>
      <c r="G1" s="13"/>
      <c r="H1" s="13"/>
    </row>
    <row r="2">
      <c r="A2" s="14"/>
      <c r="B2" s="15"/>
      <c r="C2" s="15"/>
      <c r="D2" s="15"/>
      <c r="E2" s="15"/>
      <c r="F2" s="15"/>
      <c r="G2" s="15"/>
      <c r="H2" s="15"/>
    </row>
    <row r="3">
      <c r="A3" s="14" t="s">
        <v>32</v>
      </c>
      <c r="B3" s="15" t="s">
        <v>33</v>
      </c>
      <c r="C3" s="15"/>
      <c r="D3" s="15"/>
      <c r="E3" s="15"/>
      <c r="F3" s="15"/>
      <c r="G3" s="15"/>
      <c r="H3" s="15"/>
    </row>
    <row r="4">
      <c r="A4" s="14">
        <v>1.5</v>
      </c>
      <c r="B4" s="15">
        <v>308.0</v>
      </c>
      <c r="C4" s="15"/>
      <c r="D4" s="15"/>
      <c r="E4" s="15"/>
      <c r="F4" s="15"/>
      <c r="G4" s="15"/>
      <c r="H4" s="15"/>
    </row>
    <row r="5">
      <c r="A5" s="14">
        <v>2.0</v>
      </c>
      <c r="B5" s="16">
        <v>185.0</v>
      </c>
      <c r="C5" s="17"/>
      <c r="D5" s="17"/>
      <c r="E5" s="16"/>
      <c r="F5" s="16"/>
      <c r="G5" s="16"/>
      <c r="H5" s="16"/>
    </row>
    <row r="6">
      <c r="A6" s="14">
        <v>2.5</v>
      </c>
      <c r="B6" s="15">
        <v>118.0</v>
      </c>
      <c r="C6" s="15"/>
      <c r="D6" s="15"/>
      <c r="E6" s="15"/>
      <c r="F6" s="15"/>
      <c r="G6" s="15"/>
      <c r="H6" s="15"/>
    </row>
    <row r="7">
      <c r="A7" s="14">
        <v>3.0</v>
      </c>
      <c r="B7" s="15">
        <v>80.0</v>
      </c>
      <c r="C7" s="15"/>
      <c r="D7" s="15"/>
      <c r="E7" s="15"/>
      <c r="F7" s="15"/>
      <c r="G7" s="15"/>
      <c r="H7" s="15"/>
    </row>
    <row r="8">
      <c r="A8" s="14"/>
      <c r="B8" s="15"/>
      <c r="C8" s="15"/>
      <c r="D8" s="15"/>
      <c r="E8" s="15"/>
      <c r="F8" s="15"/>
      <c r="G8" s="15"/>
      <c r="H8" s="15"/>
    </row>
    <row r="9">
      <c r="A9" s="14"/>
      <c r="B9" s="15"/>
      <c r="C9" s="15"/>
      <c r="D9" s="15"/>
      <c r="E9" s="15"/>
      <c r="F9" s="15"/>
      <c r="G9" s="15"/>
      <c r="H9" s="15"/>
    </row>
    <row r="10">
      <c r="A10" s="14"/>
      <c r="B10" s="15"/>
      <c r="C10" s="15"/>
      <c r="D10" s="15"/>
      <c r="E10" s="15"/>
      <c r="F10" s="18"/>
      <c r="G10" s="15"/>
      <c r="H10" s="15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9" t="s">
        <v>3</v>
      </c>
      <c r="B1" s="19" t="s">
        <v>21</v>
      </c>
      <c r="C1" s="19" t="s">
        <v>22</v>
      </c>
      <c r="D1" s="19" t="s">
        <v>23</v>
      </c>
      <c r="E1" s="19" t="s">
        <v>24</v>
      </c>
      <c r="F1" s="19" t="s">
        <v>25</v>
      </c>
      <c r="G1" s="19" t="s">
        <v>26</v>
      </c>
      <c r="H1" s="19" t="s">
        <v>27</v>
      </c>
    </row>
    <row r="2">
      <c r="A2" s="14" t="s">
        <v>34</v>
      </c>
      <c r="B2" s="11">
        <v>0.5</v>
      </c>
      <c r="C2" s="11">
        <v>0.55</v>
      </c>
      <c r="D2" s="11">
        <v>0.5</v>
      </c>
      <c r="E2" s="11">
        <v>0.6</v>
      </c>
      <c r="F2" s="11">
        <v>1.7</v>
      </c>
      <c r="G2" s="11">
        <v>2.0</v>
      </c>
      <c r="H2" s="11">
        <v>1.95</v>
      </c>
    </row>
    <row r="3">
      <c r="A3" s="14" t="s">
        <v>35</v>
      </c>
      <c r="B3" s="11">
        <v>3100.0</v>
      </c>
      <c r="C3" s="11">
        <v>2500.0</v>
      </c>
      <c r="D3" s="11">
        <v>1300.0</v>
      </c>
      <c r="E3" s="11">
        <v>1500.0</v>
      </c>
      <c r="F3" s="11">
        <v>3000.0</v>
      </c>
      <c r="G3" s="11">
        <v>3400.0</v>
      </c>
      <c r="H3" s="11">
        <v>2600.0</v>
      </c>
    </row>
    <row r="4">
      <c r="A4" s="14" t="s">
        <v>36</v>
      </c>
      <c r="B4" s="11">
        <f>B3*0.0001653467</f>
        <v>0.51257477</v>
      </c>
      <c r="C4" s="11">
        <f t="shared" ref="C4:H4" si="1"> C3*0.0001653467</f>
        <v>0.41336675</v>
      </c>
      <c r="D4" s="11">
        <f t="shared" si="1"/>
        <v>0.21495071</v>
      </c>
      <c r="E4" s="11">
        <f t="shared" si="1"/>
        <v>0.24802005</v>
      </c>
      <c r="F4" s="11">
        <f t="shared" si="1"/>
        <v>0.4960401</v>
      </c>
      <c r="G4" s="11">
        <f t="shared" si="1"/>
        <v>0.56217878</v>
      </c>
      <c r="H4" s="11">
        <f t="shared" si="1"/>
        <v>0.42990142</v>
      </c>
      <c r="J4" s="20" t="s">
        <v>37</v>
      </c>
    </row>
    <row r="5">
      <c r="A5" s="19" t="s">
        <v>38</v>
      </c>
      <c r="B5" s="11">
        <v>0.95</v>
      </c>
      <c r="C5" s="11">
        <v>0.95</v>
      </c>
      <c r="D5" s="11">
        <v>1.0</v>
      </c>
      <c r="E5" s="11">
        <v>1.25</v>
      </c>
      <c r="F5" s="11">
        <v>3.5</v>
      </c>
      <c r="G5" s="11">
        <v>4.0</v>
      </c>
      <c r="H5" s="11">
        <v>3.5</v>
      </c>
    </row>
    <row r="6">
      <c r="A6" s="19" t="s">
        <v>39</v>
      </c>
      <c r="B6" s="11">
        <v>1.0</v>
      </c>
      <c r="C6" s="11">
        <v>1.0</v>
      </c>
      <c r="D6" s="11">
        <v>2.0</v>
      </c>
      <c r="E6" s="11">
        <v>2.0</v>
      </c>
      <c r="F6" s="11">
        <v>0.5</v>
      </c>
      <c r="G6" s="11">
        <v>0.5</v>
      </c>
      <c r="H6" s="11">
        <v>0.5</v>
      </c>
    </row>
    <row r="7">
      <c r="A7" s="19" t="s">
        <v>40</v>
      </c>
      <c r="B7" s="11">
        <v>0.2</v>
      </c>
      <c r="C7" s="11">
        <v>0.2</v>
      </c>
      <c r="D7" s="11">
        <v>0.2</v>
      </c>
      <c r="E7" s="11">
        <v>0.3</v>
      </c>
      <c r="F7" s="11">
        <v>0.85</v>
      </c>
      <c r="G7" s="11">
        <v>1.0</v>
      </c>
      <c r="H7" s="11">
        <v>0.85</v>
      </c>
    </row>
    <row r="8">
      <c r="A8" s="19" t="s">
        <v>41</v>
      </c>
      <c r="B8" s="11" t="s">
        <v>42</v>
      </c>
      <c r="C8" s="11" t="s">
        <v>43</v>
      </c>
      <c r="D8" s="11" t="s">
        <v>43</v>
      </c>
      <c r="E8" s="11" t="s">
        <v>44</v>
      </c>
      <c r="F8" s="11" t="s">
        <v>45</v>
      </c>
      <c r="G8" s="11" t="s">
        <v>46</v>
      </c>
      <c r="H8" s="11" t="s">
        <v>47</v>
      </c>
    </row>
    <row r="9">
      <c r="A9" s="19" t="s">
        <v>48</v>
      </c>
      <c r="B9" s="11" t="s">
        <v>49</v>
      </c>
      <c r="C9" s="11" t="s">
        <v>50</v>
      </c>
      <c r="D9" s="11" t="s">
        <v>50</v>
      </c>
      <c r="E9" s="11" t="s">
        <v>51</v>
      </c>
      <c r="F9" s="11" t="s">
        <v>52</v>
      </c>
      <c r="G9" s="11" t="s">
        <v>53</v>
      </c>
      <c r="H9" s="11" t="s">
        <v>54</v>
      </c>
    </row>
  </sheetData>
  <drawing r:id="rId1"/>
  <tableParts count="1">
    <tablePart r:id="rId3"/>
  </tableParts>
</worksheet>
</file>